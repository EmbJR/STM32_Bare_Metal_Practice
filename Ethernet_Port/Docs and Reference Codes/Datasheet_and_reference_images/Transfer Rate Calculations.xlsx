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w\Microcontrollers\STM32\STM32_Bare_Metal_Practice\Ethernet_Port\Docs and Reference Codes\Datasheet_and_reference_images\"/>
    </mc:Choice>
  </mc:AlternateContent>
  <xr:revisionPtr revIDLastSave="0" documentId="13_ncr:1_{2697E3E4-C4AA-4D4F-B7EC-8ED9AC668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H8" i="1" s="1"/>
  <c r="J8" i="1" s="1"/>
  <c r="J5" i="1"/>
  <c r="J4" i="1"/>
  <c r="D7" i="1"/>
  <c r="F7" i="1"/>
  <c r="E7" i="1"/>
  <c r="H5" i="1"/>
  <c r="H4" i="1"/>
  <c r="E6" i="1"/>
  <c r="D6" i="1"/>
  <c r="F5" i="1"/>
  <c r="F4" i="1"/>
  <c r="G4" i="1" l="1"/>
  <c r="G7" i="1"/>
  <c r="H7" i="1" s="1"/>
  <c r="J7" i="1" s="1"/>
  <c r="G5" i="1"/>
  <c r="F6" i="1"/>
  <c r="G6" i="1" l="1"/>
  <c r="H6" i="1" s="1"/>
  <c r="J6" i="1" s="1"/>
</calcChain>
</file>

<file path=xl/sharedStrings.xml><?xml version="1.0" encoding="utf-8"?>
<sst xmlns="http://schemas.openxmlformats.org/spreadsheetml/2006/main" count="14" uniqueCount="12">
  <si>
    <t>Protocol</t>
  </si>
  <si>
    <t>I2C</t>
  </si>
  <si>
    <t>Data Rate
DAC(KHz)</t>
  </si>
  <si>
    <t>Number Of Samples for 1 Waveform</t>
  </si>
  <si>
    <t>Ethernet</t>
  </si>
  <si>
    <t>Number Of Protocol
Overhead Clocks</t>
  </si>
  <si>
    <t>Number Of
Data Clock/Bits</t>
  </si>
  <si>
    <t>Data Frames
/ Second</t>
  </si>
  <si>
    <t>Max Speed
(Bits/Sec)</t>
  </si>
  <si>
    <t>Transfer Rate
(Bytes/Second)</t>
  </si>
  <si>
    <t>Transfer Rate
(bits/Second)</t>
  </si>
  <si>
    <t>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</si>
</sst>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0"/>
  <sheetViews>
    <sheetView tabSelected="1" workbookViewId="0">
      <selection activeCell="F16" sqref="F16"/>
    </sheetView>
  </sheetViews>
  <sheetFormatPr defaultRowHeight="15" x14ac:dyDescent="0.25"/>
  <cols>
    <col min="2" max="2" width="11.5703125" bestFit="1" customWidth="1"/>
    <col min="3" max="3" width="18.85546875" customWidth="1"/>
    <col min="4" max="4" width="15.28515625" bestFit="1" customWidth="1"/>
    <col min="5" max="5" width="22.28515625" bestFit="1" customWidth="1"/>
    <col min="6" max="6" width="19.28515625" customWidth="1"/>
    <col min="7" max="7" width="20.7109375" bestFit="1" customWidth="1"/>
    <col min="8" max="8" width="20.7109375" customWidth="1"/>
    <col min="9" max="9" width="20.5703125" customWidth="1"/>
    <col min="10" max="10" width="21.7109375" customWidth="1"/>
  </cols>
  <sheetData>
    <row r="3" spans="2:14" ht="63" x14ac:dyDescent="0.35">
      <c r="B3" s="4" t="s">
        <v>0</v>
      </c>
      <c r="C3" s="5" t="s">
        <v>8</v>
      </c>
      <c r="D3" s="5" t="s">
        <v>6</v>
      </c>
      <c r="E3" s="5" t="s">
        <v>5</v>
      </c>
      <c r="F3" s="5" t="s">
        <v>7</v>
      </c>
      <c r="G3" s="5" t="s">
        <v>10</v>
      </c>
      <c r="H3" s="5" t="s">
        <v>9</v>
      </c>
      <c r="I3" s="5" t="s">
        <v>3</v>
      </c>
      <c r="J3" s="5" t="s">
        <v>2</v>
      </c>
      <c r="K3" s="3"/>
      <c r="L3" s="3"/>
      <c r="M3" s="3"/>
      <c r="N3" s="3"/>
    </row>
    <row r="4" spans="2:14" s="2" customFormat="1" ht="18.75" x14ac:dyDescent="0.25">
      <c r="B4" s="1" t="s">
        <v>1</v>
      </c>
      <c r="C4" s="1">
        <v>400000</v>
      </c>
      <c r="D4" s="1">
        <v>8</v>
      </c>
      <c r="E4" s="1">
        <v>2</v>
      </c>
      <c r="F4" s="1">
        <f>C4/(D4+E4)</f>
        <v>40000</v>
      </c>
      <c r="G4" s="1">
        <f>F4*D4</f>
        <v>320000</v>
      </c>
      <c r="H4" s="1">
        <f>G4/8</f>
        <v>40000</v>
      </c>
      <c r="I4" s="1">
        <v>100</v>
      </c>
      <c r="J4" s="1">
        <f>H4/I4</f>
        <v>400</v>
      </c>
    </row>
    <row r="5" spans="2:14" s="2" customFormat="1" ht="18.75" x14ac:dyDescent="0.25">
      <c r="B5" s="1" t="s">
        <v>1</v>
      </c>
      <c r="C5" s="1">
        <v>3400000</v>
      </c>
      <c r="D5" s="1">
        <v>8</v>
      </c>
      <c r="E5" s="1">
        <v>2</v>
      </c>
      <c r="F5" s="1">
        <f>C5/(D5+E5)</f>
        <v>340000</v>
      </c>
      <c r="G5" s="1">
        <f t="shared" ref="G5:G7" si="0">F5*D5</f>
        <v>2720000</v>
      </c>
      <c r="H5" s="1">
        <f t="shared" ref="H5:H7" si="1">G5/8</f>
        <v>340000</v>
      </c>
      <c r="I5" s="1">
        <v>100</v>
      </c>
      <c r="J5" s="1">
        <f t="shared" ref="J5:J7" si="2">H5/I5</f>
        <v>3400</v>
      </c>
    </row>
    <row r="6" spans="2:14" s="2" customFormat="1" ht="18.75" x14ac:dyDescent="0.25">
      <c r="B6" s="1" t="s">
        <v>4</v>
      </c>
      <c r="C6" s="1">
        <v>10000000</v>
      </c>
      <c r="D6" s="1">
        <f>1500*8</f>
        <v>12000</v>
      </c>
      <c r="E6" s="1">
        <f>38*8</f>
        <v>304</v>
      </c>
      <c r="F6" s="1">
        <f>C6/(D6+E6)</f>
        <v>812.74382314694412</v>
      </c>
      <c r="G6" s="1">
        <f t="shared" si="0"/>
        <v>9752925.8777633291</v>
      </c>
      <c r="H6" s="1">
        <f t="shared" si="1"/>
        <v>1219115.7347204161</v>
      </c>
      <c r="I6" s="1">
        <v>60</v>
      </c>
      <c r="J6" s="1">
        <f t="shared" si="2"/>
        <v>20318.595578673601</v>
      </c>
    </row>
    <row r="7" spans="2:14" s="2" customFormat="1" ht="18.75" x14ac:dyDescent="0.25">
      <c r="B7" s="1" t="s">
        <v>4</v>
      </c>
      <c r="C7" s="1">
        <v>10000000</v>
      </c>
      <c r="D7" s="1">
        <f>400*8</f>
        <v>3200</v>
      </c>
      <c r="E7" s="1">
        <f t="shared" ref="E7:E8" si="3">38*8</f>
        <v>304</v>
      </c>
      <c r="F7" s="1">
        <f>C7/(D7+E7)</f>
        <v>2853.8812785388127</v>
      </c>
      <c r="G7" s="1">
        <f t="shared" si="0"/>
        <v>9132420.0913242009</v>
      </c>
      <c r="H7" s="1">
        <f t="shared" si="1"/>
        <v>1141552.5114155251</v>
      </c>
      <c r="I7" s="1">
        <v>60</v>
      </c>
      <c r="J7" s="1">
        <f t="shared" si="2"/>
        <v>19025.87519025875</v>
      </c>
    </row>
    <row r="8" spans="2:14" s="2" customFormat="1" ht="18.75" x14ac:dyDescent="0.25">
      <c r="B8" s="1" t="s">
        <v>11</v>
      </c>
      <c r="C8" s="1">
        <v>230400</v>
      </c>
      <c r="D8" s="1">
        <v>8</v>
      </c>
      <c r="E8" s="1">
        <v>2</v>
      </c>
      <c r="F8" s="1">
        <f>C8/(D8+E8)</f>
        <v>23040</v>
      </c>
      <c r="G8" s="1">
        <f t="shared" ref="G8" si="4">F8*D8</f>
        <v>184320</v>
      </c>
      <c r="H8" s="1">
        <f t="shared" ref="H8" si="5">G8/8</f>
        <v>23040</v>
      </c>
      <c r="I8" s="1">
        <v>101</v>
      </c>
      <c r="J8" s="1">
        <f t="shared" ref="J8" si="6">H8/I8</f>
        <v>228.11881188118812</v>
      </c>
    </row>
    <row r="9" spans="2:14" ht="18.75" x14ac:dyDescent="0.25">
      <c r="B9" s="1"/>
      <c r="C9" s="1"/>
      <c r="D9" s="1"/>
      <c r="E9" s="1"/>
      <c r="F9" s="1"/>
      <c r="G9" s="1"/>
      <c r="H9" s="1"/>
      <c r="I9" s="1"/>
      <c r="J9" s="1"/>
    </row>
    <row r="10" spans="2:14" ht="18.75" x14ac:dyDescent="0.25"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</dc:creator>
  <cp:lastModifiedBy>Jaydeep</cp:lastModifiedBy>
  <dcterms:created xsi:type="dcterms:W3CDTF">2015-06-05T18:17:20Z</dcterms:created>
  <dcterms:modified xsi:type="dcterms:W3CDTF">2026-09-03T14:56:37Z</dcterms:modified>
</cp:coreProperties>
</file>